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ufa\OneDrive\Dokumen\kuliah\semester 3\ml\praktikum\praktikum10\"/>
    </mc:Choice>
  </mc:AlternateContent>
  <xr:revisionPtr revIDLastSave="0" documentId="13_ncr:1_{DF448054-B555-4EB9-81BB-774EDB8F5527}" xr6:coauthVersionLast="47" xr6:coauthVersionMax="47" xr10:uidLastSave="{00000000-0000-0000-0000-000000000000}"/>
  <bookViews>
    <workbookView xWindow="3810" yWindow="3810" windowWidth="21600" windowHeight="11235" xr2:uid="{00000000-000D-0000-FFFF-FFFF00000000}"/>
  </bookViews>
  <sheets>
    <sheet name="Prediksi Kelulusan 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G5" i="1"/>
  <c r="F5" i="1"/>
  <c r="F12" i="1" s="1"/>
  <c r="G12" i="1" s="1"/>
  <c r="F11" i="1" l="1"/>
  <c r="G11" i="1" s="1"/>
  <c r="F10" i="1"/>
  <c r="G10" i="1" s="1"/>
</calcChain>
</file>

<file path=xl/sharedStrings.xml><?xml version="1.0" encoding="utf-8"?>
<sst xmlns="http://schemas.openxmlformats.org/spreadsheetml/2006/main" count="51" uniqueCount="33">
  <si>
    <t>Studi Kasus: Prediksi Kelulusan Matakuliah AI</t>
  </si>
  <si>
    <t>Data Prediksi Kelulusan</t>
  </si>
  <si>
    <t>Confusion Matrix</t>
  </si>
  <si>
    <t>Nim</t>
  </si>
  <si>
    <t>Hasil Sebenarnya</t>
  </si>
  <si>
    <t>Hasil Prediksi</t>
  </si>
  <si>
    <t>Aktual Lulus</t>
  </si>
  <si>
    <t>Aktual Tidak Lulus</t>
  </si>
  <si>
    <t>T1001</t>
  </si>
  <si>
    <t>Lulus</t>
  </si>
  <si>
    <t>Prediksi Lulus</t>
  </si>
  <si>
    <t>T1002</t>
  </si>
  <si>
    <t>Prediksi Tidak Lulus</t>
  </si>
  <si>
    <t>T1003</t>
  </si>
  <si>
    <t>T1004</t>
  </si>
  <si>
    <t>Tidak Lulus</t>
  </si>
  <si>
    <t>Metrics Evaluasi</t>
  </si>
  <si>
    <t>T1005</t>
  </si>
  <si>
    <t>Formula</t>
  </si>
  <si>
    <t>Hasil (%)</t>
  </si>
  <si>
    <t>T1006</t>
  </si>
  <si>
    <t>Accuracy:</t>
  </si>
  <si>
    <t>T1007</t>
  </si>
  <si>
    <t>Precision:</t>
  </si>
  <si>
    <t>T1008</t>
  </si>
  <si>
    <t>Recall:</t>
  </si>
  <si>
    <t>T1009</t>
  </si>
  <si>
    <t>T1010</t>
  </si>
  <si>
    <t>Keterangan:</t>
  </si>
  <si>
    <t>TP (True Positive): Prediksi Lulus, Aktual Lulus</t>
  </si>
  <si>
    <t>FP (False Positive): Prediksi Lulus, Aktual Tidak Lulus</t>
  </si>
  <si>
    <t>FN (False Negative): Prediksi Tidak Lulus, Aktual Lulus</t>
  </si>
  <si>
    <t>TN (True Negative): Prediksi Tidak Lulus, Aktual Tidak 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</si>
</sst>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3" fillId="0" borderId="0" xfId="0" applyFont="1"/>
    <xf numFmtId="10" fontId="0" fillId="0" borderId="0" xfId="0" applyNumberFormat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C4" workbookViewId="0">
      <selection sqref="A1:C1"/>
    </sheetView>
  </sheetViews>
  <sheetFormatPr defaultRowHeight="15"/>
  <cols>
    <col min="1" max="1" width="47" customWidth="1"/>
    <col min="2" max="2" width="18" customWidth="1"/>
    <col min="3" max="3" width="16" customWidth="1"/>
    <col min="4" max="4" width="6" customWidth="1"/>
    <col min="5" max="5" width="62" customWidth="1"/>
    <col min="6" max="6" width="48" customWidth="1"/>
    <col min="7" max="7" width="54" customWidth="1"/>
  </cols>
  <sheetData>
    <row r="1" spans="1:7" ht="18.75">
      <c r="A1" s="6" t="s">
        <v>0</v>
      </c>
      <c r="B1" s="7"/>
      <c r="C1" s="7"/>
    </row>
    <row r="3" spans="1:7" ht="15.75">
      <c r="A3" s="8" t="s">
        <v>1</v>
      </c>
      <c r="B3" s="7"/>
      <c r="C3" s="7"/>
      <c r="E3" s="8" t="s">
        <v>2</v>
      </c>
      <c r="F3" s="7"/>
      <c r="G3" s="7"/>
    </row>
    <row r="4" spans="1:7">
      <c r="A4" s="1" t="s">
        <v>3</v>
      </c>
      <c r="B4" s="1" t="s">
        <v>4</v>
      </c>
      <c r="C4" s="1" t="s">
        <v>5</v>
      </c>
      <c r="E4" s="2"/>
      <c r="F4" s="2" t="s">
        <v>6</v>
      </c>
      <c r="G4" s="2" t="s">
        <v>7</v>
      </c>
    </row>
    <row r="5" spans="1:7">
      <c r="A5" s="1" t="s">
        <v>8</v>
      </c>
      <c r="B5" s="1" t="s">
        <v>9</v>
      </c>
      <c r="C5" s="1" t="s">
        <v>9</v>
      </c>
      <c r="E5" s="3" t="s">
        <v>10</v>
      </c>
      <c r="F5" s="3">
        <f>COUNTIFS(B5:B14,"Lulus",C5:C14,"Lulus")</f>
        <v>3</v>
      </c>
      <c r="G5" s="3">
        <f>COUNTIFS(B5:B14,"Tidak Lulus",C5:C14,"Lulus")</f>
        <v>1</v>
      </c>
    </row>
    <row r="6" spans="1:7">
      <c r="A6" s="1" t="s">
        <v>11</v>
      </c>
      <c r="B6" s="1" t="s">
        <v>9</v>
      </c>
      <c r="C6" s="1" t="s">
        <v>9</v>
      </c>
      <c r="E6" s="3" t="s">
        <v>12</v>
      </c>
      <c r="F6" s="3">
        <f>COUNTIFS(B5:B14,"Lulus",C5:C14,"Tidak Lulus")</f>
        <v>2</v>
      </c>
      <c r="G6" s="3">
        <f>COUNTIFS(B5:B14,"Tidak Lulus",C5:C14,"Tidak Lulus")</f>
        <v>4</v>
      </c>
    </row>
    <row r="7" spans="1:7">
      <c r="A7" s="1" t="s">
        <v>13</v>
      </c>
      <c r="B7" s="1" t="s">
        <v>9</v>
      </c>
      <c r="C7" s="1" t="s">
        <v>9</v>
      </c>
    </row>
    <row r="8" spans="1:7" ht="15.75">
      <c r="A8" s="1" t="s">
        <v>14</v>
      </c>
      <c r="B8" s="1" t="s">
        <v>9</v>
      </c>
      <c r="C8" s="1" t="s">
        <v>15</v>
      </c>
      <c r="E8" s="8" t="s">
        <v>16</v>
      </c>
      <c r="F8" s="7"/>
      <c r="G8" s="7"/>
    </row>
    <row r="9" spans="1:7">
      <c r="A9" s="1" t="s">
        <v>17</v>
      </c>
      <c r="B9" s="1" t="s">
        <v>9</v>
      </c>
      <c r="C9" s="1" t="s">
        <v>15</v>
      </c>
      <c r="F9" s="4" t="s">
        <v>18</v>
      </c>
      <c r="G9" s="4" t="s">
        <v>19</v>
      </c>
    </row>
    <row r="10" spans="1:7">
      <c r="A10" s="1" t="s">
        <v>20</v>
      </c>
      <c r="B10" s="1" t="s">
        <v>15</v>
      </c>
      <c r="C10" s="1" t="s">
        <v>9</v>
      </c>
      <c r="E10" t="s">
        <v>21</v>
      </c>
      <c r="F10">
        <f>(F5+G6)/(F5+G5+F6+G6)</f>
        <v>0.7</v>
      </c>
      <c r="G10" s="5">
        <f>F10</f>
        <v>0.7</v>
      </c>
    </row>
    <row r="11" spans="1:7">
      <c r="A11" s="1" t="s">
        <v>22</v>
      </c>
      <c r="B11" s="1" t="s">
        <v>15</v>
      </c>
      <c r="C11" s="1" t="s">
        <v>15</v>
      </c>
      <c r="E11" t="s">
        <v>23</v>
      </c>
      <c r="F11">
        <f>F5/(F5+G5)</f>
        <v>0.75</v>
      </c>
      <c r="G11" s="5">
        <f>F11</f>
        <v>0.75</v>
      </c>
    </row>
    <row r="12" spans="1:7">
      <c r="A12" s="1" t="s">
        <v>24</v>
      </c>
      <c r="B12" s="1" t="s">
        <v>15</v>
      </c>
      <c r="C12" s="1" t="s">
        <v>15</v>
      </c>
      <c r="E12" t="s">
        <v>25</v>
      </c>
      <c r="F12">
        <f>F5/(F5+F6)</f>
        <v>0.6</v>
      </c>
      <c r="G12" s="5">
        <f>F12</f>
        <v>0.6</v>
      </c>
    </row>
    <row r="13" spans="1:7">
      <c r="A13" s="1" t="s">
        <v>26</v>
      </c>
      <c r="B13" s="1" t="s">
        <v>15</v>
      </c>
      <c r="C13" s="1" t="s">
        <v>15</v>
      </c>
    </row>
    <row r="14" spans="1:7">
      <c r="A14" s="1" t="s">
        <v>27</v>
      </c>
      <c r="B14" s="1" t="s">
        <v>15</v>
      </c>
      <c r="C14" s="1" t="s">
        <v>15</v>
      </c>
      <c r="E14" s="4" t="s">
        <v>28</v>
      </c>
    </row>
    <row r="15" spans="1:7">
      <c r="E15" t="s">
        <v>29</v>
      </c>
    </row>
    <row r="16" spans="1:7">
      <c r="E16" t="s">
        <v>30</v>
      </c>
    </row>
    <row r="17" spans="5:5">
      <c r="E17" t="s">
        <v>31</v>
      </c>
    </row>
    <row r="18" spans="5:5">
      <c r="E18" t="s">
        <v>32</v>
      </c>
    </row>
  </sheetData>
  <mergeCells count="4">
    <mergeCell ref="A1:C1"/>
    <mergeCell ref="A3:C3"/>
    <mergeCell ref="E8:G8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Prediksi Kelulusan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Alfi Husni</cp:lastModifiedBy>
  <dcterms:created xsi:type="dcterms:W3CDTF">2025-11-30T15:04:02Z</dcterms:created>
  <dcterms:modified xsi:type="dcterms:W3CDTF">2025-11-30T15:07:13Z</dcterms:modified>
</cp:coreProperties>
</file>